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\Documents\"/>
    </mc:Choice>
  </mc:AlternateContent>
  <xr:revisionPtr revIDLastSave="0" documentId="13_ncr:1_{1BE2D415-06D2-4C60-8DE4-257A3C835F39}" xr6:coauthVersionLast="47" xr6:coauthVersionMax="47" xr10:uidLastSave="{00000000-0000-0000-0000-000000000000}"/>
  <bookViews>
    <workbookView xWindow="-120" yWindow="-120" windowWidth="29040" windowHeight="15720" xr2:uid="{7BC04C83-B4C7-44C3-8BB5-83BA3EC8739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K8" i="1"/>
  <c r="A6" i="1"/>
  <c r="E6" i="1"/>
  <c r="B3" i="1"/>
  <c r="B4" i="1" s="1"/>
  <c r="F8" i="1" s="1"/>
  <c r="D23" i="1" l="1"/>
  <c r="E23" i="1"/>
  <c r="E13" i="1"/>
  <c r="F13" i="1"/>
  <c r="F23" i="1"/>
  <c r="B28" i="1"/>
  <c r="C28" i="1"/>
  <c r="B18" i="1"/>
  <c r="C18" i="1"/>
  <c r="D18" i="1"/>
  <c r="B13" i="1"/>
  <c r="E18" i="1"/>
  <c r="C13" i="1"/>
  <c r="F18" i="1"/>
  <c r="D28" i="1"/>
  <c r="C23" i="1"/>
  <c r="D13" i="1"/>
  <c r="B23" i="1"/>
  <c r="E28" i="1"/>
  <c r="F28" i="1"/>
  <c r="C8" i="1"/>
  <c r="D8" i="1"/>
  <c r="E8" i="1"/>
</calcChain>
</file>

<file path=xl/sharedStrings.xml><?xml version="1.0" encoding="utf-8"?>
<sst xmlns="http://schemas.openxmlformats.org/spreadsheetml/2006/main" count="54" uniqueCount="18">
  <si>
    <t>Monday</t>
  </si>
  <si>
    <t>Tuesday</t>
  </si>
  <si>
    <t>Wednesday</t>
  </si>
  <si>
    <t>Thursday</t>
  </si>
  <si>
    <t>Friday</t>
  </si>
  <si>
    <t>November</t>
  </si>
  <si>
    <t>Year</t>
  </si>
  <si>
    <t>Month</t>
  </si>
  <si>
    <t>First day of the month</t>
  </si>
  <si>
    <t>Fist day of the week</t>
  </si>
  <si>
    <t>GROUP 1</t>
  </si>
  <si>
    <t>GROUP 2</t>
  </si>
  <si>
    <t>GROUP 3</t>
  </si>
  <si>
    <t>GROUP 4</t>
  </si>
  <si>
    <t>Day</t>
  </si>
  <si>
    <t>On-Site work</t>
  </si>
  <si>
    <t>Remote work</t>
  </si>
  <si>
    <t>Customer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</si>
</sst>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d/mm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name val="Arial"/>
      <family val="2"/>
    </font>
    <font>
      <sz val="9"/>
      <color indexed="8"/>
      <name val="Arial Narrow"/>
      <family val="2"/>
    </font>
    <font>
      <sz val="12"/>
      <color theme="0"/>
      <name val="Times New Roman"/>
      <family val="1"/>
    </font>
    <font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2" fillId="0" borderId="0"/>
    <xf numFmtId="49" fontId="3" fillId="2" borderId="0" applyBorder="0" applyProtection="0">
      <alignment horizontal="left" vertical="top" wrapText="1"/>
    </xf>
  </cellStyleXfs>
  <cellXfs count="21">
    <xf numFmtId="0" fontId="0" fillId="0" borderId="0" xfId="0"/>
    <xf numFmtId="14" fontId="4" fillId="3" borderId="3" xfId="0" applyNumberFormat="1" applyFont="1" applyFill="1" applyBorder="1" applyAlignment="1">
      <alignment horizontal="center" vertical="center" wrapText="1"/>
    </xf>
    <xf numFmtId="14" fontId="4" fillId="3" borderId="4" xfId="0" applyNumberFormat="1" applyFont="1" applyFill="1" applyBorder="1" applyAlignment="1">
      <alignment horizontal="center" vertical="center" wrapText="1"/>
    </xf>
    <xf numFmtId="14" fontId="4" fillId="3" borderId="5" xfId="0" applyNumberFormat="1" applyFont="1" applyFill="1" applyBorder="1" applyAlignment="1">
      <alignment horizontal="center" vertical="center" wrapText="1"/>
    </xf>
    <xf numFmtId="0" fontId="4" fillId="3" borderId="3" xfId="0" applyNumberFormat="1" applyFont="1" applyFill="1" applyBorder="1" applyAlignment="1">
      <alignment horizontal="center" vertical="center" wrapText="1"/>
    </xf>
    <xf numFmtId="0" fontId="4" fillId="3" borderId="5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14" fontId="4" fillId="4" borderId="1" xfId="0" applyNumberFormat="1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0" xfId="0" applyFont="1"/>
    <xf numFmtId="0" fontId="5" fillId="0" borderId="2" xfId="0" applyFont="1" applyBorder="1"/>
    <xf numFmtId="14" fontId="5" fillId="0" borderId="0" xfId="0" applyNumberFormat="1" applyFont="1"/>
    <xf numFmtId="0" fontId="5" fillId="0" borderId="1" xfId="0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 wrapText="1"/>
    </xf>
    <xf numFmtId="0" fontId="5" fillId="0" borderId="6" xfId="0" applyFont="1" applyBorder="1"/>
    <xf numFmtId="0" fontId="5" fillId="0" borderId="0" xfId="0" applyFont="1" applyBorder="1"/>
    <xf numFmtId="14" fontId="5" fillId="0" borderId="0" xfId="0" applyNumberFormat="1" applyFont="1" applyBorder="1"/>
    <xf numFmtId="0" fontId="5" fillId="0" borderId="0" xfId="0" applyFont="1" applyAlignment="1">
      <alignment wrapText="1"/>
    </xf>
    <xf numFmtId="0" fontId="5" fillId="0" borderId="0" xfId="0" applyNumberFormat="1" applyFont="1"/>
    <xf numFmtId="177" fontId="5" fillId="0" borderId="1" xfId="0" applyNumberFormat="1" applyFont="1" applyBorder="1" applyAlignment="1">
      <alignment horizontal="center" vertical="center" wrapText="1"/>
    </xf>
  </cellXfs>
  <cellStyles count="3">
    <cellStyle name="Normal" xfId="0" builtinId="0"/>
    <cellStyle name="Normal 2" xfId="1" xr:uid="{6DA3FDD9-9B9E-4177-820B-01FB1F6AD318}"/>
    <cellStyle name="WinCalendar_BlankCells_61" xfId="2" xr:uid="{ECA05EE2-BBD2-4FA0-AB9C-CF9BD9E98A85}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1</xdr:row>
          <xdr:rowOff>19050</xdr:rowOff>
        </xdr:from>
        <xdr:to>
          <xdr:col>8</xdr:col>
          <xdr:colOff>200025</xdr:colOff>
          <xdr:row>2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Activate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8C5312-3447-4EE4-8C03-F140297ABAE0}" name="Table3" displayName="Table3" ref="C1:F4" totalsRowShown="0" headerRowDxfId="1" dataDxfId="2">
  <autoFilter ref="C1:F4" xr:uid="{CA8C5312-3447-4EE4-8C03-F140297ABAE0}"/>
  <tableColumns count="4">
    <tableColumn id="1" xr3:uid="{6CA68401-AC82-4BFF-AAAD-09807F4039CD}" name="GROUP 1" dataDxfId="5"/>
    <tableColumn id="2" xr3:uid="{242AB63A-329B-4732-879E-1C1E016D7F62}" name="GROUP 2" dataDxfId="4"/>
    <tableColumn id="3" xr3:uid="{F1C73F2C-7C44-4C8C-A710-9F3324383561}" name="GROUP 3" dataDxfId="0"/>
    <tableColumn id="4" xr3:uid="{93FA4779-64E0-464C-82C7-F0DB3EB8D8DF}" name="GROUP 4" dataDxfId="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CC8CA-23A2-43D0-A7B4-8E9BE2A4CBC3}">
  <sheetPr codeName="Sheet1"/>
  <dimension ref="A1:K31"/>
  <sheetViews>
    <sheetView tabSelected="1" workbookViewId="0">
      <selection activeCell="A28" sqref="A28:A31"/>
    </sheetView>
  </sheetViews>
  <sheetFormatPr defaultRowHeight="15.75" x14ac:dyDescent="0.25"/>
  <cols>
    <col min="1" max="6" width="18.5703125" style="10" customWidth="1"/>
    <col min="7" max="8" width="9.5703125" style="10" bestFit="1" customWidth="1"/>
    <col min="9" max="10" width="9.140625" style="10"/>
    <col min="11" max="11" width="10.140625" style="10" bestFit="1" customWidth="1"/>
    <col min="12" max="15" width="12.28515625" style="10" customWidth="1"/>
    <col min="16" max="16384" width="9.140625" style="10"/>
  </cols>
  <sheetData>
    <row r="1" spans="1:11" x14ac:dyDescent="0.25">
      <c r="A1" s="14" t="s">
        <v>6</v>
      </c>
      <c r="B1" s="14">
        <v>2024</v>
      </c>
      <c r="C1" s="10" t="s">
        <v>10</v>
      </c>
      <c r="D1" s="10" t="s">
        <v>11</v>
      </c>
      <c r="E1" s="10" t="s">
        <v>12</v>
      </c>
      <c r="F1" s="10" t="s">
        <v>13</v>
      </c>
      <c r="H1" s="16"/>
      <c r="I1" s="16"/>
    </row>
    <row r="2" spans="1:11" x14ac:dyDescent="0.25">
      <c r="A2" s="14" t="s">
        <v>7</v>
      </c>
      <c r="B2" s="14" t="s">
        <v>5</v>
      </c>
      <c r="F2" s="11"/>
      <c r="H2" s="16"/>
      <c r="I2" s="16"/>
    </row>
    <row r="3" spans="1:11" ht="31.5" x14ac:dyDescent="0.25">
      <c r="A3" s="14" t="s">
        <v>8</v>
      </c>
      <c r="B3" s="9">
        <f>DATE(B1, MATCH(B2, {"January";"February";"March";"April";"May";"June";"July";"August";"September";"October";"November";"December"}, 0), 1)</f>
        <v>45597</v>
      </c>
      <c r="F3" s="11"/>
      <c r="H3" s="16"/>
      <c r="I3" s="16"/>
    </row>
    <row r="4" spans="1:11" ht="31.5" x14ac:dyDescent="0.25">
      <c r="A4" s="14" t="s">
        <v>9</v>
      </c>
      <c r="B4" s="9">
        <f>B3-WEEKDAY(B3, 2)+1</f>
        <v>45593</v>
      </c>
      <c r="F4" s="15"/>
      <c r="H4" s="16"/>
      <c r="I4" s="16"/>
    </row>
    <row r="5" spans="1:11" x14ac:dyDescent="0.25">
      <c r="B5" s="12"/>
      <c r="C5" s="12"/>
      <c r="D5" s="12"/>
      <c r="E5" s="12"/>
      <c r="F5" s="12"/>
      <c r="G5" s="12"/>
      <c r="H5" s="17"/>
      <c r="I5" s="16"/>
    </row>
    <row r="6" spans="1:11" x14ac:dyDescent="0.25">
      <c r="A6" s="1" t="str">
        <f>B2</f>
        <v>November</v>
      </c>
      <c r="B6" s="2"/>
      <c r="C6" s="2"/>
      <c r="D6" s="3"/>
      <c r="E6" s="4">
        <f>B1</f>
        <v>2024</v>
      </c>
      <c r="F6" s="5"/>
      <c r="G6" s="12"/>
      <c r="H6" s="17"/>
      <c r="I6" s="16"/>
    </row>
    <row r="7" spans="1:11" x14ac:dyDescent="0.25">
      <c r="A7" s="6"/>
      <c r="B7" s="7" t="s">
        <v>0</v>
      </c>
      <c r="C7" s="7" t="s">
        <v>1</v>
      </c>
      <c r="D7" s="7" t="s">
        <v>2</v>
      </c>
      <c r="E7" s="7" t="s">
        <v>3</v>
      </c>
      <c r="F7" s="7" t="s">
        <v>4</v>
      </c>
      <c r="G7" s="12"/>
      <c r="H7" s="12"/>
    </row>
    <row r="8" spans="1:11" x14ac:dyDescent="0.25">
      <c r="A8" s="8" t="s">
        <v>14</v>
      </c>
      <c r="B8" s="20">
        <f>IF(B4="", "", B4)</f>
        <v>45593</v>
      </c>
      <c r="C8" s="20">
        <f>IF($B$4="", "", $B$4+1)</f>
        <v>45594</v>
      </c>
      <c r="D8" s="20">
        <f>IF($B$4="", "", $B$4+2)</f>
        <v>45595</v>
      </c>
      <c r="E8" s="20">
        <f>IF($B$4="", "", $B$4+3)</f>
        <v>45596</v>
      </c>
      <c r="F8" s="20">
        <f>IF($B$4="", "", $B$4+4)</f>
        <v>45597</v>
      </c>
      <c r="G8" s="12"/>
      <c r="H8" s="12"/>
      <c r="K8" s="19" t="str">
        <f>""</f>
        <v/>
      </c>
    </row>
    <row r="9" spans="1:11" x14ac:dyDescent="0.25">
      <c r="A9" s="8" t="s">
        <v>15</v>
      </c>
      <c r="B9" s="9"/>
      <c r="C9" s="9"/>
      <c r="D9" s="9"/>
      <c r="E9" s="9"/>
      <c r="F9" s="9"/>
      <c r="G9" s="12"/>
      <c r="H9" s="12"/>
    </row>
    <row r="10" spans="1:11" x14ac:dyDescent="0.25">
      <c r="A10" s="8" t="s">
        <v>16</v>
      </c>
      <c r="B10" s="9"/>
      <c r="C10" s="9"/>
      <c r="D10" s="9"/>
      <c r="E10" s="9"/>
      <c r="F10" s="9"/>
      <c r="G10" s="12"/>
      <c r="H10" s="12"/>
      <c r="J10" s="18"/>
    </row>
    <row r="11" spans="1:11" x14ac:dyDescent="0.25">
      <c r="A11" s="8" t="s">
        <v>17</v>
      </c>
      <c r="B11" s="13"/>
      <c r="C11" s="13"/>
      <c r="D11" s="13"/>
      <c r="E11" s="13"/>
      <c r="F11" s="13"/>
      <c r="G11" s="12"/>
      <c r="H11" s="12"/>
    </row>
    <row r="12" spans="1:11" x14ac:dyDescent="0.25">
      <c r="A12" s="6"/>
      <c r="B12" s="7" t="s">
        <v>0</v>
      </c>
      <c r="C12" s="7" t="s">
        <v>1</v>
      </c>
      <c r="D12" s="7" t="s">
        <v>2</v>
      </c>
      <c r="E12" s="7" t="s">
        <v>3</v>
      </c>
      <c r="F12" s="7" t="s">
        <v>4</v>
      </c>
      <c r="G12" s="12"/>
      <c r="H12" s="12"/>
    </row>
    <row r="13" spans="1:11" x14ac:dyDescent="0.25">
      <c r="A13" s="8" t="s">
        <v>14</v>
      </c>
      <c r="B13" s="20">
        <f>IF($B$4="", "", $B$4+7)</f>
        <v>45600</v>
      </c>
      <c r="C13" s="20">
        <f>IF($B$4="", "", $B$4+8)</f>
        <v>45601</v>
      </c>
      <c r="D13" s="20">
        <f>IF($B$4="", "", $B$4+9)</f>
        <v>45602</v>
      </c>
      <c r="E13" s="20">
        <f>IF($B$4="", "", $B$4+10)</f>
        <v>45603</v>
      </c>
      <c r="F13" s="20">
        <f>IF($B$4="", "", $B$4+11)</f>
        <v>45604</v>
      </c>
      <c r="G13" s="12"/>
      <c r="H13" s="12"/>
    </row>
    <row r="14" spans="1:11" x14ac:dyDescent="0.25">
      <c r="A14" s="8" t="s">
        <v>15</v>
      </c>
      <c r="B14" s="9"/>
      <c r="C14" s="9"/>
      <c r="D14" s="9"/>
      <c r="E14" s="9"/>
      <c r="F14" s="9"/>
      <c r="G14" s="12"/>
      <c r="H14" s="12"/>
    </row>
    <row r="15" spans="1:11" x14ac:dyDescent="0.25">
      <c r="A15" s="8" t="s">
        <v>16</v>
      </c>
      <c r="B15" s="9"/>
      <c r="C15" s="9"/>
      <c r="D15" s="9"/>
      <c r="E15" s="9"/>
      <c r="F15" s="9"/>
      <c r="G15" s="12"/>
      <c r="H15" s="12"/>
    </row>
    <row r="16" spans="1:11" x14ac:dyDescent="0.25">
      <c r="A16" s="8" t="s">
        <v>17</v>
      </c>
      <c r="B16" s="9"/>
      <c r="C16" s="9"/>
      <c r="D16" s="9"/>
      <c r="E16" s="9"/>
      <c r="F16" s="9"/>
      <c r="G16" s="12"/>
      <c r="H16" s="12"/>
    </row>
    <row r="17" spans="1:8" x14ac:dyDescent="0.25">
      <c r="A17" s="6"/>
      <c r="B17" s="7" t="s">
        <v>0</v>
      </c>
      <c r="C17" s="7" t="s">
        <v>1</v>
      </c>
      <c r="D17" s="7" t="s">
        <v>2</v>
      </c>
      <c r="E17" s="7" t="s">
        <v>3</v>
      </c>
      <c r="F17" s="7" t="s">
        <v>4</v>
      </c>
      <c r="G17" s="12"/>
      <c r="H17" s="12"/>
    </row>
    <row r="18" spans="1:8" x14ac:dyDescent="0.25">
      <c r="A18" s="8" t="s">
        <v>14</v>
      </c>
      <c r="B18" s="20">
        <f>IF($B$4="", "", $B$4+14)</f>
        <v>45607</v>
      </c>
      <c r="C18" s="20">
        <f>IF($B$4="", "", $B$4+15)</f>
        <v>45608</v>
      </c>
      <c r="D18" s="20">
        <f>IF($B$4="", "", $B$4+16)</f>
        <v>45609</v>
      </c>
      <c r="E18" s="20">
        <f>IF($B$4="", "", $B$4+17)</f>
        <v>45610</v>
      </c>
      <c r="F18" s="20">
        <f>IF($B$4="", "", $B$4+18)</f>
        <v>45611</v>
      </c>
      <c r="G18" s="12"/>
      <c r="H18" s="12"/>
    </row>
    <row r="19" spans="1:8" x14ac:dyDescent="0.25">
      <c r="A19" s="8" t="s">
        <v>15</v>
      </c>
      <c r="B19" s="9"/>
      <c r="C19" s="9"/>
      <c r="D19" s="9"/>
      <c r="E19" s="9"/>
      <c r="F19" s="9"/>
      <c r="G19" s="12"/>
      <c r="H19" s="12"/>
    </row>
    <row r="20" spans="1:8" x14ac:dyDescent="0.25">
      <c r="A20" s="8" t="s">
        <v>16</v>
      </c>
      <c r="B20" s="9"/>
      <c r="C20" s="9"/>
      <c r="D20" s="9"/>
      <c r="E20" s="9"/>
      <c r="F20" s="9"/>
      <c r="G20" s="12"/>
      <c r="H20" s="12"/>
    </row>
    <row r="21" spans="1:8" x14ac:dyDescent="0.25">
      <c r="A21" s="8" t="s">
        <v>17</v>
      </c>
      <c r="B21" s="9"/>
      <c r="C21" s="9"/>
      <c r="D21" s="9"/>
      <c r="E21" s="9"/>
      <c r="F21" s="9"/>
      <c r="G21" s="12"/>
      <c r="H21" s="12"/>
    </row>
    <row r="22" spans="1:8" x14ac:dyDescent="0.25">
      <c r="A22" s="6"/>
      <c r="B22" s="7" t="s">
        <v>0</v>
      </c>
      <c r="C22" s="7" t="s">
        <v>1</v>
      </c>
      <c r="D22" s="7" t="s">
        <v>2</v>
      </c>
      <c r="E22" s="7" t="s">
        <v>3</v>
      </c>
      <c r="F22" s="7" t="s">
        <v>4</v>
      </c>
      <c r="G22" s="12"/>
      <c r="H22" s="12"/>
    </row>
    <row r="23" spans="1:8" x14ac:dyDescent="0.25">
      <c r="A23" s="8" t="s">
        <v>14</v>
      </c>
      <c r="B23" s="20">
        <f>IF($B$4="", "", $B$4+21)</f>
        <v>45614</v>
      </c>
      <c r="C23" s="20">
        <f>IF($B$4="", "", $B$4+22)</f>
        <v>45615</v>
      </c>
      <c r="D23" s="20">
        <f>IF($B$4="", "", $B$4+23)</f>
        <v>45616</v>
      </c>
      <c r="E23" s="20">
        <f>IF($B$4="", "", $B$4+24)</f>
        <v>45617</v>
      </c>
      <c r="F23" s="20">
        <f>IF($B$4="", "", $B$4+25)</f>
        <v>45618</v>
      </c>
      <c r="G23" s="12"/>
      <c r="H23" s="12"/>
    </row>
    <row r="24" spans="1:8" x14ac:dyDescent="0.25">
      <c r="A24" s="8" t="s">
        <v>15</v>
      </c>
      <c r="B24" s="9"/>
      <c r="C24" s="9"/>
      <c r="D24" s="9"/>
      <c r="E24" s="9"/>
      <c r="F24" s="9"/>
      <c r="G24" s="12"/>
      <c r="H24" s="12"/>
    </row>
    <row r="25" spans="1:8" x14ac:dyDescent="0.25">
      <c r="A25" s="8" t="s">
        <v>16</v>
      </c>
      <c r="B25" s="9"/>
      <c r="C25" s="9"/>
      <c r="D25" s="9"/>
      <c r="E25" s="9"/>
      <c r="F25" s="9"/>
      <c r="G25" s="12"/>
      <c r="H25" s="12"/>
    </row>
    <row r="26" spans="1:8" x14ac:dyDescent="0.25">
      <c r="A26" s="8" t="s">
        <v>17</v>
      </c>
      <c r="B26" s="9"/>
      <c r="C26" s="9"/>
      <c r="D26" s="9"/>
      <c r="E26" s="9"/>
      <c r="F26" s="9"/>
    </row>
    <row r="27" spans="1:8" x14ac:dyDescent="0.25">
      <c r="A27" s="6"/>
      <c r="B27" s="7" t="s">
        <v>0</v>
      </c>
      <c r="C27" s="7" t="s">
        <v>1</v>
      </c>
      <c r="D27" s="7" t="s">
        <v>2</v>
      </c>
      <c r="E27" s="7" t="s">
        <v>3</v>
      </c>
      <c r="F27" s="7" t="s">
        <v>4</v>
      </c>
      <c r="G27" s="12"/>
      <c r="H27" s="12"/>
    </row>
    <row r="28" spans="1:8" x14ac:dyDescent="0.25">
      <c r="A28" s="8" t="s">
        <v>14</v>
      </c>
      <c r="B28" s="20">
        <f>IF($B$4="", "", $B$4+28)</f>
        <v>45621</v>
      </c>
      <c r="C28" s="20">
        <f>IF($B$4="", "", $B$4+29)</f>
        <v>45622</v>
      </c>
      <c r="D28" s="20">
        <f>IF($B$4="", "", $B$4+30)</f>
        <v>45623</v>
      </c>
      <c r="E28" s="20">
        <f>IF($B$4="", "", $B$4+31)</f>
        <v>45624</v>
      </c>
      <c r="F28" s="20">
        <f>IF($B$4="", "", $B$4+32)</f>
        <v>45625</v>
      </c>
    </row>
    <row r="29" spans="1:8" x14ac:dyDescent="0.25">
      <c r="A29" s="8" t="s">
        <v>15</v>
      </c>
      <c r="B29" s="9"/>
      <c r="C29" s="9"/>
      <c r="D29" s="9"/>
      <c r="E29" s="9"/>
      <c r="F29" s="9"/>
    </row>
    <row r="30" spans="1:8" x14ac:dyDescent="0.25">
      <c r="A30" s="8" t="s">
        <v>16</v>
      </c>
      <c r="B30" s="9"/>
      <c r="C30" s="9"/>
      <c r="D30" s="9"/>
      <c r="E30" s="9"/>
      <c r="F30" s="9"/>
    </row>
    <row r="31" spans="1:8" x14ac:dyDescent="0.25">
      <c r="A31" s="8" t="s">
        <v>17</v>
      </c>
      <c r="B31" s="9"/>
      <c r="C31" s="9"/>
      <c r="D31" s="9"/>
      <c r="E31" s="9"/>
      <c r="F31" s="9"/>
    </row>
  </sheetData>
  <mergeCells count="2">
    <mergeCell ref="E6:F6"/>
    <mergeCell ref="A6:D6"/>
  </mergeCells>
  <phoneticPr fontId="1" type="noConversion"/>
  <dataValidations count="1">
    <dataValidation type="list" allowBlank="1" showInputMessage="1" showErrorMessage="1" sqref="B2" xr:uid="{923BBAF0-C368-4BC6-8AF0-02E469BA8305}">
      <formula1>"January,February,March,April,May,June,July,August,September,October,November,December"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heet1.AssignFullNames">
                <anchor moveWithCells="1" sizeWithCells="1">
                  <from>
                    <xdr:col>6</xdr:col>
                    <xdr:colOff>628650</xdr:colOff>
                    <xdr:row>1</xdr:row>
                    <xdr:rowOff>19050</xdr:rowOff>
                  </from>
                  <to>
                    <xdr:col>8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VALENTINA  CARVAJAL CORREA</dc:creator>
  <cp:lastModifiedBy>VALENTINA  CARVAJAL CORREA</cp:lastModifiedBy>
  <dcterms:created xsi:type="dcterms:W3CDTF">2024-10-08T16:28:45Z</dcterms:created>
  <dcterms:modified xsi:type="dcterms:W3CDTF">2024-10-08T22:18:31Z</dcterms:modified>
</cp:coreProperties>
</file>